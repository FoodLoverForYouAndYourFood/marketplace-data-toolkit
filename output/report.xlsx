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3" customWidth="1" min="5" max="5"/>
    <col width="60" customWidth="1" min="6" max="6"/>
    <col width="60" customWidth="1" min="7" max="7"/>
    <col width="60" customWidth="1" min="8" max="8"/>
    <col width="15" customWidth="1" min="9" max="9"/>
    <col width="17" customWidth="1" min="10" max="10"/>
    <col width="36" customWidth="1" min="11" max="11"/>
    <col width="15" customWidth="1" min="12" max="12"/>
    <col width="17" customWidth="1" min="13" max="13"/>
    <col width="36" customWidth="1" min="14" max="14"/>
    <col width="31" customWidth="1" min="15" max="15"/>
  </cols>
  <sheetData>
    <row r="1">
      <c r="A1" s="1" t="inlineStr">
        <is>
          <t>ID продавца</t>
        </is>
      </c>
      <c r="B1" s="1" t="inlineStr">
        <is>
          <t>Продавец</t>
        </is>
      </c>
      <c r="C1" s="1" t="inlineStr">
        <is>
          <t>Предмет</t>
        </is>
      </c>
      <c r="D1" s="1" t="inlineStr">
        <is>
          <t>НМ</t>
        </is>
      </c>
      <c r="E1" s="1" t="inlineStr">
        <is>
          <t>Бренд</t>
        </is>
      </c>
      <c r="F1" s="1" t="inlineStr">
        <is>
          <t>Наименование</t>
        </is>
      </c>
      <c r="G1" s="1" t="inlineStr">
        <is>
          <t>Ссылка WB</t>
        </is>
      </c>
      <c r="H1" s="1" t="inlineStr">
        <is>
          <t>Ссылка OZON</t>
        </is>
      </c>
      <c r="I1" s="1" t="inlineStr">
        <is>
          <t>Цена WB 20.10</t>
        </is>
      </c>
      <c r="J1" s="1" t="inlineStr">
        <is>
          <t>Цена OZON 20.10</t>
        </is>
      </c>
      <c r="K1" s="1" t="inlineStr">
        <is>
          <t>Маржа 20.10</t>
        </is>
      </c>
      <c r="L1" s="1" t="inlineStr">
        <is>
          <t>Цена WB 10.11</t>
        </is>
      </c>
      <c r="M1" s="1" t="inlineStr">
        <is>
          <t>Цена OZON 10.11</t>
        </is>
      </c>
      <c r="N1" s="1" t="inlineStr">
        <is>
          <t>Дельта</t>
        </is>
      </c>
      <c r="O1" s="1" t="inlineStr">
        <is>
          <t>КАМ</t>
        </is>
      </c>
    </row>
    <row r="2">
      <c r="A2" s="2" t="inlineStr"/>
      <c r="B2" s="2" t="inlineStr"/>
      <c r="C2" s="2" t="inlineStr"/>
      <c r="D2" s="2" t="inlineStr">
        <is>
          <t>1048092530</t>
        </is>
      </c>
      <c r="E2" s="2" t="inlineStr">
        <is>
          <t>DECOR MAGIC</t>
        </is>
      </c>
      <c r="F2" s="2" t="inlineStr">
        <is>
          <t>Коврик для кухни на пол 50х150, противоскользящий, для прихожей, на балкон OPTIMA SIRIUS</t>
        </is>
      </c>
      <c r="G2" s="2" t="n"/>
      <c r="H2" s="2" t="inlineStr">
        <is>
          <t>https://www.ozon.ru/product/kovrik-dlya-kuhni-na-pol-50h150-protivoskolzyashchiy-dlya-prihozhey-na-balkon-optima-sirius-1048092530/</t>
        </is>
      </c>
      <c r="I2" s="2" t="n"/>
      <c r="J2" s="2" t="n">
        <v>831</v>
      </c>
      <c r="K2" s="2">
        <f>IF(OR(J2=0,J2=""),"",I2/J2-1)</f>
        <v/>
      </c>
      <c r="L2" s="2" t="n"/>
      <c r="M2" s="2" t="n">
        <v>831</v>
      </c>
      <c r="N2" s="2">
        <f>IF(OR(M2=0,M2=""),"",L2/M2-1)</f>
        <v/>
      </c>
      <c r="O2" s="2" t="inlineStr">
        <is>
          <t>OZ рейтинг 4.9 (5153 отзывов)</t>
        </is>
      </c>
    </row>
    <row r="3">
      <c r="A3" s="2" t="inlineStr">
        <is>
          <t>648116</t>
        </is>
      </c>
      <c r="B3" s="2" t="inlineStr">
        <is>
          <t>DECOR MAGIC</t>
        </is>
      </c>
      <c r="C3" s="2" t="inlineStr">
        <is>
          <t>1182</t>
        </is>
      </c>
      <c r="D3" s="2" t="inlineStr">
        <is>
          <t>110831278</t>
        </is>
      </c>
      <c r="E3" s="2" t="inlineStr">
        <is>
          <t>DECOR MAGIC</t>
        </is>
      </c>
      <c r="F3" s="2" t="inlineStr">
        <is>
          <t>Накидка на кресло и диван CILIUM 65х170 см</t>
        </is>
      </c>
      <c r="G3" s="2" t="inlineStr">
        <is>
          <t>https://www.wildberries.ru/catalog/110831278/detail.aspx?targetUrl=EX</t>
        </is>
      </c>
      <c r="H3" s="2" t="n"/>
      <c r="I3" s="2" t="n">
        <v>677</v>
      </c>
      <c r="J3" s="2" t="n"/>
      <c r="K3" s="2">
        <f>IF(OR(J3=0,J3=""),"",I3/J3-1)</f>
        <v/>
      </c>
      <c r="L3" s="2" t="n">
        <v>677</v>
      </c>
      <c r="M3" s="2" t="n"/>
      <c r="N3" s="2">
        <f>IF(OR(M3=0,M3=""),"",L3/M3-1)</f>
        <v/>
      </c>
      <c r="O3" s="2" t="inlineStr">
        <is>
          <t>WB рейтинг 4.8 (247 отзывов)</t>
        </is>
      </c>
    </row>
    <row r="4">
      <c r="A4" s="2" t="inlineStr">
        <is>
          <t>648116</t>
        </is>
      </c>
      <c r="B4" s="2" t="inlineStr">
        <is>
          <t>DECOR MAGIC</t>
        </is>
      </c>
      <c r="C4" s="2" t="inlineStr">
        <is>
          <t>1182</t>
        </is>
      </c>
      <c r="D4" s="2" t="inlineStr">
        <is>
          <t>110831286</t>
        </is>
      </c>
      <c r="E4" s="2" t="inlineStr">
        <is>
          <t>DECOR MAGIC</t>
        </is>
      </c>
      <c r="F4" s="2" t="inlineStr">
        <is>
          <t>Чехол накидка на диван и кресло CILIUM 65х170 см</t>
        </is>
      </c>
      <c r="G4" s="2" t="inlineStr">
        <is>
          <t>https://www.wildberries.ru/catalog/110831286/detail.aspx</t>
        </is>
      </c>
      <c r="H4" s="2" t="n"/>
      <c r="I4" s="2" t="n">
        <v>693</v>
      </c>
      <c r="J4" s="2" t="n"/>
      <c r="K4" s="2">
        <f>IF(OR(J4=0,J4=""),"",I4/J4-1)</f>
        <v/>
      </c>
      <c r="L4" s="2" t="n">
        <v>693</v>
      </c>
      <c r="M4" s="2" t="n"/>
      <c r="N4" s="2">
        <f>IF(OR(M4=0,M4=""),"",L4/M4-1)</f>
        <v/>
      </c>
      <c r="O4" s="2" t="inlineStr">
        <is>
          <t>WB рейтинг 4.8 (154 отзывов)</t>
        </is>
      </c>
    </row>
    <row r="5">
      <c r="A5" s="2" t="inlineStr">
        <is>
          <t>648116</t>
        </is>
      </c>
      <c r="B5" s="2" t="inlineStr">
        <is>
          <t>DECOR MAGIC</t>
        </is>
      </c>
      <c r="C5" s="2" t="inlineStr">
        <is>
          <t>1182</t>
        </is>
      </c>
      <c r="D5" s="2" t="inlineStr">
        <is>
          <t>110963668</t>
        </is>
      </c>
      <c r="E5" s="2" t="inlineStr">
        <is>
          <t>DECOR MAGIC</t>
        </is>
      </c>
      <c r="F5" s="2" t="inlineStr">
        <is>
          <t>Покрывало Накидка 65х170 SLIM OPERA BITTER для кресла</t>
        </is>
      </c>
      <c r="G5" s="2" t="inlineStr">
        <is>
          <t>https://www.wildberries.ru/catalog/110963668/detail.aspx?targetUrl=EX</t>
        </is>
      </c>
      <c r="H5" s="2" t="n"/>
      <c r="I5" s="2" t="n">
        <v>710</v>
      </c>
      <c r="J5" s="2" t="n"/>
      <c r="K5" s="2">
        <f>IF(OR(J5=0,J5=""),"",I5/J5-1)</f>
        <v/>
      </c>
      <c r="L5" s="2" t="n">
        <v>710</v>
      </c>
      <c r="M5" s="2" t="n"/>
      <c r="N5" s="2">
        <f>IF(OR(M5=0,M5=""),"",L5/M5-1)</f>
        <v/>
      </c>
      <c r="O5" s="2" t="inlineStr">
        <is>
          <t>WB рейтинг 4.8 (232 отзывов)</t>
        </is>
      </c>
    </row>
    <row r="6">
      <c r="A6" s="2" t="inlineStr">
        <is>
          <t>648116</t>
        </is>
      </c>
      <c r="B6" s="2" t="inlineStr">
        <is>
          <t>DECOR MAGIC</t>
        </is>
      </c>
      <c r="C6" s="2" t="inlineStr">
        <is>
          <t>1182</t>
        </is>
      </c>
      <c r="D6" s="2" t="inlineStr">
        <is>
          <t>110963683</t>
        </is>
      </c>
      <c r="E6" s="2" t="inlineStr">
        <is>
          <t>DECOR MAGIC</t>
        </is>
      </c>
      <c r="F6" s="2" t="inlineStr">
        <is>
          <t>Покрывало Накидка 65х170 SLIM OPERA WINE на кресло</t>
        </is>
      </c>
      <c r="G6" s="2" t="inlineStr">
        <is>
          <t>https://www.wildberries.ru/catalog/110963683/detail.aspx?targetUrl=EX</t>
        </is>
      </c>
      <c r="H6" s="2" t="n"/>
      <c r="I6" s="2" t="n">
        <v>743</v>
      </c>
      <c r="J6" s="2" t="n"/>
      <c r="K6" s="2">
        <f>IF(OR(J6=0,J6=""),"",I6/J6-1)</f>
        <v/>
      </c>
      <c r="L6" s="2" t="n">
        <v>743</v>
      </c>
      <c r="M6" s="2" t="n"/>
      <c r="N6" s="2">
        <f>IF(OR(M6=0,M6=""),"",L6/M6-1)</f>
        <v/>
      </c>
      <c r="O6" s="2" t="inlineStr">
        <is>
          <t>WB рейтинг 4.9 (206 отзывов)</t>
        </is>
      </c>
    </row>
    <row r="7">
      <c r="A7" s="2" t="inlineStr">
        <is>
          <t>648116</t>
        </is>
      </c>
      <c r="B7" s="2" t="inlineStr">
        <is>
          <t>DECOR MAGIC</t>
        </is>
      </c>
      <c r="C7" s="2" t="inlineStr">
        <is>
          <t>451</t>
        </is>
      </c>
      <c r="D7" s="2" t="inlineStr">
        <is>
          <t>111710732</t>
        </is>
      </c>
      <c r="E7" s="2" t="inlineStr">
        <is>
          <t>DECOR MAGIC</t>
        </is>
      </c>
      <c r="F7" s="2" t="inlineStr">
        <is>
          <t>Шторы блэкаут рогожка 170х270 ROUND DENIM в гостиную - 1 шт</t>
        </is>
      </c>
      <c r="G7" s="2" t="inlineStr">
        <is>
          <t>https://www.wildberries.ru/catalog/111710732/detail.aspx?targetUrl=EX</t>
        </is>
      </c>
      <c r="H7" s="2" t="n"/>
      <c r="I7" s="2" t="n">
        <v>1254</v>
      </c>
      <c r="J7" s="2" t="n"/>
      <c r="K7" s="2">
        <f>IF(OR(J7=0,J7=""),"",I7/J7-1)</f>
        <v/>
      </c>
      <c r="L7" s="2" t="n">
        <v>1254</v>
      </c>
      <c r="M7" s="2" t="n"/>
      <c r="N7" s="2">
        <f>IF(OR(M7=0,M7=""),"",L7/M7-1)</f>
        <v/>
      </c>
      <c r="O7" s="2" t="inlineStr">
        <is>
          <t>WB рейтинг 4.9 (60 отзывов)</t>
        </is>
      </c>
    </row>
    <row r="8">
      <c r="A8" s="2" t="inlineStr"/>
      <c r="B8" s="2" t="inlineStr"/>
      <c r="C8" s="2" t="inlineStr"/>
      <c r="D8" s="2" t="inlineStr">
        <is>
          <t>1484935284</t>
        </is>
      </c>
      <c r="E8" s="2" t="inlineStr">
        <is>
          <t>DECOR MAGIC</t>
        </is>
      </c>
      <c r="F8" s="2" t="inlineStr">
        <is>
          <t>Ковер на пол с ворсом, LANGORIA STONE 135х200 см</t>
        </is>
      </c>
      <c r="G8" s="2" t="n"/>
      <c r="H8" s="2" t="inlineStr">
        <is>
          <t>https://www.ozon.ru/product/kover-na-pol-s-vorsom-langoria-stone-135h200-sm-1484935284/</t>
        </is>
      </c>
      <c r="I8" s="2" t="n"/>
      <c r="J8" s="2" t="n">
        <v>5065</v>
      </c>
      <c r="K8" s="2">
        <f>IF(OR(J8=0,J8=""),"",I8/J8-1)</f>
        <v/>
      </c>
      <c r="L8" s="2" t="n"/>
      <c r="M8" s="2" t="n">
        <v>5065</v>
      </c>
      <c r="N8" s="2">
        <f>IF(OR(M8=0,M8=""),"",L8/M8-1)</f>
        <v/>
      </c>
      <c r="O8" s="2" t="inlineStr">
        <is>
          <t>OZ рейтинг 4.9 (606 отзывов)</t>
        </is>
      </c>
    </row>
    <row r="9">
      <c r="A9" s="2" t="inlineStr">
        <is>
          <t>1137836</t>
        </is>
      </c>
      <c r="B9" s="2" t="inlineStr">
        <is>
          <t>Togas</t>
        </is>
      </c>
      <c r="C9" s="2" t="inlineStr">
        <is>
          <t>319</t>
        </is>
      </c>
      <c r="D9" s="2" t="inlineStr">
        <is>
          <t>150057398</t>
        </is>
      </c>
      <c r="E9" s="2" t="inlineStr">
        <is>
          <t>CASSIA</t>
        </is>
      </c>
      <c r="F9" s="2" t="inlineStr">
        <is>
          <t>Одеяло евро 200х220 лебяжий пух всесезонное 240г м2</t>
        </is>
      </c>
      <c r="G9" s="2" t="inlineStr">
        <is>
          <t>https://www.wildberries.ru/catalog/150057398/detail.aspx</t>
        </is>
      </c>
      <c r="H9" s="2" t="n"/>
      <c r="I9" s="2" t="n"/>
      <c r="J9" s="2" t="n"/>
      <c r="K9" s="2">
        <f>IF(OR(J9=0,J9=""),"",I9/J9-1)</f>
        <v/>
      </c>
      <c r="L9" s="2" t="n"/>
      <c r="M9" s="2" t="n"/>
      <c r="N9" s="2">
        <f>IF(OR(M9=0,M9=""),"",L9/M9-1)</f>
        <v/>
      </c>
      <c r="O9" s="2" t="inlineStr">
        <is>
          <t>WB рейтинг 5.0 (44 отзывов)</t>
        </is>
      </c>
    </row>
    <row r="10">
      <c r="A10" s="2" t="inlineStr"/>
      <c r="B10" s="2" t="inlineStr"/>
      <c r="C10" s="2" t="inlineStr"/>
      <c r="D10" s="2" t="inlineStr">
        <is>
          <t>1502457249</t>
        </is>
      </c>
      <c r="E10" s="2" t="inlineStr">
        <is>
          <t>DIZANI</t>
        </is>
      </c>
      <c r="F10" s="2" t="inlineStr">
        <is>
          <t>Полотенце махровое банное в подарок сыну</t>
        </is>
      </c>
      <c r="G10" s="2" t="n"/>
      <c r="H10" s="2" t="inlineStr">
        <is>
          <t>https://www.ozon.ru/product/polotentse-mahrovoe-bannoe-v-podarok-synu-1502457249/</t>
        </is>
      </c>
      <c r="I10" s="2" t="n"/>
      <c r="J10" s="2" t="n">
        <v>872</v>
      </c>
      <c r="K10" s="2">
        <f>IF(OR(J10=0,J10=""),"",I10/J10-1)</f>
        <v/>
      </c>
      <c r="L10" s="2" t="n"/>
      <c r="M10" s="2" t="n">
        <v>872</v>
      </c>
      <c r="N10" s="2">
        <f>IF(OR(M10=0,M10=""),"",L10/M10-1)</f>
        <v/>
      </c>
      <c r="O10" s="2" t="inlineStr">
        <is>
          <t>OZ рейтинг 4.9 (3024 отзывов)</t>
        </is>
      </c>
    </row>
    <row r="11">
      <c r="A11" s="2" t="inlineStr"/>
      <c r="B11" s="2" t="inlineStr"/>
      <c r="C11" s="2" t="inlineStr"/>
      <c r="D11" s="2" t="inlineStr">
        <is>
          <t>1596333644</t>
        </is>
      </c>
      <c r="E11" s="2" t="inlineStr">
        <is>
          <t>CASSIA</t>
        </is>
      </c>
      <c r="F11" s="2" t="inlineStr">
        <is>
          <t>CASSIA Комплект постельного белья Евро "Элиф" 200х210-1/230х250-1/50х70-2 сатин, хлопок</t>
        </is>
      </c>
      <c r="G11" s="2" t="n"/>
      <c r="H11" s="2" t="inlineStr">
        <is>
          <t>https://www.ozon.ru/product/cassia-komplekt-postelnogo-belya-evro-elif-200h210-1-230h250-1-50h70-2-satin-hlopok-1596333644/</t>
        </is>
      </c>
      <c r="I11" s="2" t="n"/>
      <c r="J11" s="2" t="n">
        <v>5533</v>
      </c>
      <c r="K11" s="2">
        <f>IF(OR(J11=0,J11=""),"",I11/J11-1)</f>
        <v/>
      </c>
      <c r="L11" s="2" t="n"/>
      <c r="M11" s="2" t="n">
        <v>5533</v>
      </c>
      <c r="N11" s="2">
        <f>IF(OR(M11=0,M11=""),"",L11/M11-1)</f>
        <v/>
      </c>
      <c r="O11" s="2" t="inlineStr">
        <is>
          <t>OZ рейтинг 4.8 (105 отзывов)</t>
        </is>
      </c>
    </row>
    <row r="12">
      <c r="A12" s="2" t="inlineStr"/>
      <c r="B12" s="2" t="inlineStr"/>
      <c r="C12" s="2" t="inlineStr"/>
      <c r="D12" s="2" t="inlineStr">
        <is>
          <t>1596333646</t>
        </is>
      </c>
      <c r="E12" s="2" t="inlineStr">
        <is>
          <t>CASSIA</t>
        </is>
      </c>
      <c r="F12" s="2" t="inlineStr">
        <is>
          <t>CASSIA Комплект постельного белья Евро "Адэм" 200х210-1/230х250-1/50х70-2 сатин, хлопок</t>
        </is>
      </c>
      <c r="G12" s="2" t="n"/>
      <c r="H12" s="2" t="inlineStr">
        <is>
          <t>https://www.ozon.ru/product/cassia-komplekt-postelnogo-belya-evro-adem-200h210-1-230h250-1-50h70-2-satin-hlopok-1596333646/</t>
        </is>
      </c>
      <c r="I12" s="2" t="n"/>
      <c r="J12" s="2" t="n">
        <v>4873</v>
      </c>
      <c r="K12" s="2">
        <f>IF(OR(J12=0,J12=""),"",I12/J12-1)</f>
        <v/>
      </c>
      <c r="L12" s="2" t="n"/>
      <c r="M12" s="2" t="n">
        <v>4873</v>
      </c>
      <c r="N12" s="2">
        <f>IF(OR(M12=0,M12=""),"",L12/M12-1)</f>
        <v/>
      </c>
      <c r="O12" s="2" t="inlineStr">
        <is>
          <t>OZ рейтинг 4.8 (105 отзывов)</t>
        </is>
      </c>
    </row>
    <row r="13">
      <c r="A13" s="2" t="inlineStr">
        <is>
          <t>683563</t>
        </is>
      </c>
      <c r="B13" s="2" t="inlineStr">
        <is>
          <t>Dizani</t>
        </is>
      </c>
      <c r="C13" s="2" t="inlineStr">
        <is>
          <t>254</t>
        </is>
      </c>
      <c r="D13" s="2" t="inlineStr">
        <is>
          <t>159721043</t>
        </is>
      </c>
      <c r="E13" s="2" t="inlineStr">
        <is>
          <t>Dizani</t>
        </is>
      </c>
      <c r="F13" s="2" t="inlineStr">
        <is>
          <t>Именное полотенце Александр в подарок на день рождения</t>
        </is>
      </c>
      <c r="G13" s="2" t="inlineStr">
        <is>
          <t>https://www.wildberries.ru/catalog/159721043/detail.aspx?targetUrl=EX</t>
        </is>
      </c>
      <c r="H13" s="2" t="n"/>
      <c r="I13" s="2" t="n">
        <v>1087</v>
      </c>
      <c r="J13" s="2" t="n"/>
      <c r="K13" s="2">
        <f>IF(OR(J13=0,J13=""),"",I13/J13-1)</f>
        <v/>
      </c>
      <c r="L13" s="2" t="n">
        <v>1087</v>
      </c>
      <c r="M13" s="2" t="n"/>
      <c r="N13" s="2">
        <f>IF(OR(M13=0,M13=""),"",L13/M13-1)</f>
        <v/>
      </c>
      <c r="O13" s="2" t="inlineStr">
        <is>
          <t>WB рейтинг 4.9 (2759 отзывов)</t>
        </is>
      </c>
    </row>
    <row r="14">
      <c r="A14" s="2" t="inlineStr">
        <is>
          <t>683563</t>
        </is>
      </c>
      <c r="B14" s="2" t="inlineStr">
        <is>
          <t>Dizani</t>
        </is>
      </c>
      <c r="C14" s="2" t="inlineStr">
        <is>
          <t>254</t>
        </is>
      </c>
      <c r="D14" s="2" t="inlineStr">
        <is>
          <t>159721050</t>
        </is>
      </c>
      <c r="E14" s="2" t="inlineStr">
        <is>
          <t>Dizani</t>
        </is>
      </c>
      <c r="F14" s="2" t="inlineStr">
        <is>
          <t>Именное полотенце Алексей в подарок на день рождения</t>
        </is>
      </c>
      <c r="G14" s="2" t="inlineStr">
        <is>
          <t>https://www.wildberries.ru/catalog/159721050/detail.aspx?targetUrl=EX</t>
        </is>
      </c>
      <c r="H14" s="2" t="n"/>
      <c r="I14" s="2" t="n">
        <v>1087</v>
      </c>
      <c r="J14" s="2" t="n"/>
      <c r="K14" s="2">
        <f>IF(OR(J14=0,J14=""),"",I14/J14-1)</f>
        <v/>
      </c>
      <c r="L14" s="2" t="n">
        <v>1087</v>
      </c>
      <c r="M14" s="2" t="n"/>
      <c r="N14" s="2">
        <f>IF(OR(M14=0,M14=""),"",L14/M14-1)</f>
        <v/>
      </c>
      <c r="O14" s="2" t="inlineStr">
        <is>
          <t>WB рейтинг 4.9 (1267 отзывов)</t>
        </is>
      </c>
    </row>
    <row r="15">
      <c r="A15" s="2" t="inlineStr">
        <is>
          <t>683563</t>
        </is>
      </c>
      <c r="B15" s="2" t="inlineStr">
        <is>
          <t>Dizani</t>
        </is>
      </c>
      <c r="C15" s="2" t="inlineStr">
        <is>
          <t>254</t>
        </is>
      </c>
      <c r="D15" s="2" t="inlineStr">
        <is>
          <t>159721077</t>
        </is>
      </c>
      <c r="E15" s="2" t="inlineStr">
        <is>
          <t>Dizani</t>
        </is>
      </c>
      <c r="F15" s="2" t="inlineStr">
        <is>
          <t>Именное полотенце Сергей в подарок на день рождения</t>
        </is>
      </c>
      <c r="G15" s="2" t="inlineStr">
        <is>
          <t>https://www.wildberries.ru/catalog/159721077/detail.aspx?targetUrl=EX</t>
        </is>
      </c>
      <c r="H15" s="2" t="n"/>
      <c r="I15" s="2" t="n">
        <v>1087</v>
      </c>
      <c r="J15" s="2" t="n"/>
      <c r="K15" s="2">
        <f>IF(OR(J15=0,J15=""),"",I15/J15-1)</f>
        <v/>
      </c>
      <c r="L15" s="2" t="n">
        <v>1087</v>
      </c>
      <c r="M15" s="2" t="n"/>
      <c r="N15" s="2">
        <f>IF(OR(M15=0,M15=""),"",L15/M15-1)</f>
        <v/>
      </c>
      <c r="O15" s="2" t="inlineStr">
        <is>
          <t>WB рейтинг 4.9 (2480 отзывов)</t>
        </is>
      </c>
    </row>
    <row r="16">
      <c r="A16" s="2" t="inlineStr"/>
      <c r="B16" s="2" t="inlineStr"/>
      <c r="C16" s="2" t="inlineStr"/>
      <c r="D16" s="2" t="inlineStr">
        <is>
          <t>1615920270</t>
        </is>
      </c>
      <c r="E16" s="2" t="inlineStr">
        <is>
          <t>CASSIA</t>
        </is>
      </c>
      <c r="F16" s="2" t="inlineStr">
        <is>
          <t>CASSIA Наволочки комплект 70x70 - 2 шт "Люкс" страйп-сатин жаккард, хлопок, серые</t>
        </is>
      </c>
      <c r="G16" s="2" t="n"/>
      <c r="H16" s="2" t="inlineStr">
        <is>
          <t>https://www.ozon.ru/product/cassia-navolochki-komplekt-70x70-2-sht-lyuks-strayp-satin-zhakkard-hlopok-serye-1615920270/</t>
        </is>
      </c>
      <c r="I16" s="2" t="n"/>
      <c r="J16" s="2" t="n">
        <v>929</v>
      </c>
      <c r="K16" s="2">
        <f>IF(OR(J16=0,J16=""),"",I16/J16-1)</f>
        <v/>
      </c>
      <c r="L16" s="2" t="n"/>
      <c r="M16" s="2" t="n">
        <v>929</v>
      </c>
      <c r="N16" s="2">
        <f>IF(OR(M16=0,M16=""),"",L16/M16-1)</f>
        <v/>
      </c>
      <c r="O16" s="2" t="inlineStr">
        <is>
          <t>OZ рейтинг 4.8 (108 отзывов)</t>
        </is>
      </c>
    </row>
    <row r="17">
      <c r="A17" s="2" t="inlineStr">
        <is>
          <t>648116</t>
        </is>
      </c>
      <c r="B17" s="2" t="inlineStr">
        <is>
          <t>DECOR MAGIC</t>
        </is>
      </c>
      <c r="C17" s="2" t="inlineStr">
        <is>
          <t>7162</t>
        </is>
      </c>
      <c r="D17" s="2" t="inlineStr">
        <is>
          <t>166417055</t>
        </is>
      </c>
      <c r="E17" s="2" t="inlineStr">
        <is>
          <t>DECOR MAGIC</t>
        </is>
      </c>
      <c r="F17" s="2" t="inlineStr">
        <is>
          <t>Дорожка на пол без ворса OPTIMA SIRIUS 50х150</t>
        </is>
      </c>
      <c r="G17" s="2" t="inlineStr">
        <is>
          <t>https://www.wildberries.ru/catalog/166417055/detail.aspx?targetUrl=EX</t>
        </is>
      </c>
      <c r="H17" s="2" t="n"/>
      <c r="I17" s="2" t="n">
        <v>647</v>
      </c>
      <c r="J17" s="2" t="n"/>
      <c r="K17" s="2">
        <f>IF(OR(J17=0,J17=""),"",I17/J17-1)</f>
        <v/>
      </c>
      <c r="L17" s="2" t="n">
        <v>647</v>
      </c>
      <c r="M17" s="2" t="n"/>
      <c r="N17" s="2">
        <f>IF(OR(M17=0,M17=""),"",L17/M17-1)</f>
        <v/>
      </c>
      <c r="O17" s="2" t="inlineStr">
        <is>
          <t>WB рейтинг 4.9 (173 отзывов)</t>
        </is>
      </c>
    </row>
    <row r="18">
      <c r="A18" s="2" t="inlineStr"/>
      <c r="B18" s="2" t="inlineStr"/>
      <c r="C18" s="2" t="inlineStr"/>
      <c r="D18" s="2" t="inlineStr">
        <is>
          <t>1696443230</t>
        </is>
      </c>
      <c r="E18" s="2" t="inlineStr">
        <is>
          <t>CASSIA</t>
        </is>
      </c>
      <c r="F18" s="2" t="inlineStr">
        <is>
          <t>CASSIA Одеяло 200х220 евро "Калахари" всесезонное, теплое 350 г/м2, верблюжья шерсть, микроволокно "Лебяжий пух"</t>
        </is>
      </c>
      <c r="G18" s="2" t="n"/>
      <c r="H18" s="2" t="inlineStr">
        <is>
          <t>https://www.ozon.ru/product/cassia-odeyalo-200h220-evro-kalahari-vsesezonnoe-teploe-350-g-m2-verblyuzhya-sherst-mikrovolokno-1696443230/</t>
        </is>
      </c>
      <c r="I18" s="2" t="n"/>
      <c r="J18" s="2" t="n">
        <v>3135</v>
      </c>
      <c r="K18" s="2">
        <f>IF(OR(J18=0,J18=""),"",I18/J18-1)</f>
        <v/>
      </c>
      <c r="L18" s="2" t="n"/>
      <c r="M18" s="2" t="n">
        <v>3135</v>
      </c>
      <c r="N18" s="2">
        <f>IF(OR(M18=0,M18=""),"",L18/M18-1)</f>
        <v/>
      </c>
      <c r="O18" s="2" t="inlineStr">
        <is>
          <t>OZ рейтинг 4.9 (601 отзывов)</t>
        </is>
      </c>
    </row>
    <row r="19">
      <c r="A19" s="2" t="inlineStr"/>
      <c r="B19" s="2" t="inlineStr"/>
      <c r="C19" s="2" t="inlineStr"/>
      <c r="D19" s="2" t="inlineStr">
        <is>
          <t>1696443363</t>
        </is>
      </c>
      <c r="E19" s="2" t="inlineStr">
        <is>
          <t>CASSIA</t>
        </is>
      </c>
      <c r="F19" s="2" t="inlineStr">
        <is>
          <t>CASSIA Одеяло 172х205 двуспальное "Жемчужина Тибета" зимнее, теплое 400 г/м2, овечья шерсть, микроволокно "Лебяжий пух"</t>
        </is>
      </c>
      <c r="G19" s="2" t="n"/>
      <c r="H19" s="2" t="inlineStr">
        <is>
          <t>https://www.ozon.ru/product/cassia-odeyalo-172h205-dvuspalnoe-zhemchuzhina-tibeta-zimnee-teploe-400-g-m2-ovechya-1696443363/</t>
        </is>
      </c>
      <c r="I19" s="2" t="n"/>
      <c r="J19" s="2" t="n">
        <v>2857</v>
      </c>
      <c r="K19" s="2">
        <f>IF(OR(J19=0,J19=""),"",I19/J19-1)</f>
        <v/>
      </c>
      <c r="L19" s="2" t="n"/>
      <c r="M19" s="2" t="n">
        <v>2857</v>
      </c>
      <c r="N19" s="2">
        <f>IF(OR(M19=0,M19=""),"",L19/M19-1)</f>
        <v/>
      </c>
      <c r="O19" s="2" t="inlineStr">
        <is>
          <t>OZ рейтинг 4.9 (601 отзывов)</t>
        </is>
      </c>
    </row>
    <row r="20">
      <c r="A20" s="2" t="inlineStr"/>
      <c r="B20" s="2" t="inlineStr"/>
      <c r="C20" s="2" t="inlineStr"/>
      <c r="D20" s="2" t="inlineStr">
        <is>
          <t>1861207489</t>
        </is>
      </c>
      <c r="E20" s="2" t="inlineStr">
        <is>
          <t>DECOR MAGIC</t>
        </is>
      </c>
      <c r="F20" s="2" t="inlineStr">
        <is>
          <t>Покрывало на кресло 65х170 см. накидка, SLIM BRAVO WASABI</t>
        </is>
      </c>
      <c r="G20" s="2" t="n"/>
      <c r="H20" s="2" t="inlineStr">
        <is>
          <t>https://www.ozon.ru/product/pokryvalo-na-kreslo-65h170-sm-nakidka-slim-bravo-wasabi-1861207489/</t>
        </is>
      </c>
      <c r="I20" s="2" t="n"/>
      <c r="J20" s="2" t="n">
        <v>1112</v>
      </c>
      <c r="K20" s="2">
        <f>IF(OR(J20=0,J20=""),"",I20/J20-1)</f>
        <v/>
      </c>
      <c r="L20" s="2" t="n"/>
      <c r="M20" s="2" t="n">
        <v>1112</v>
      </c>
      <c r="N20" s="2">
        <f>IF(OR(M20=0,M20=""),"",L20/M20-1)</f>
        <v/>
      </c>
      <c r="O20" s="2" t="inlineStr">
        <is>
          <t>OZ рейтинг 4.8 (244 отзывов)</t>
        </is>
      </c>
    </row>
    <row r="21">
      <c r="A21" s="2" t="inlineStr">
        <is>
          <t>648116</t>
        </is>
      </c>
      <c r="B21" s="2" t="inlineStr">
        <is>
          <t>DECOR MAGIC</t>
        </is>
      </c>
      <c r="C21" s="2" t="inlineStr">
        <is>
          <t>7162</t>
        </is>
      </c>
      <c r="D21" s="2" t="inlineStr">
        <is>
          <t>199767092</t>
        </is>
      </c>
      <c r="E21" s="2" t="inlineStr">
        <is>
          <t>DECOR MAGIC</t>
        </is>
      </c>
      <c r="F21" s="2" t="inlineStr">
        <is>
          <t>Коврик на кухню для пола нескользящий OPTIMA MELODY 50х150</t>
        </is>
      </c>
      <c r="G21" s="2" t="inlineStr">
        <is>
          <t>https://www.wildberries.ru/catalog/199767092/detail.aspx</t>
        </is>
      </c>
      <c r="H21" s="2" t="n"/>
      <c r="I21" s="2" t="n">
        <v>799</v>
      </c>
      <c r="J21" s="2" t="n"/>
      <c r="K21" s="2">
        <f>IF(OR(J21=0,J21=""),"",I21/J21-1)</f>
        <v/>
      </c>
      <c r="L21" s="2" t="n">
        <v>799</v>
      </c>
      <c r="M21" s="2" t="n"/>
      <c r="N21" s="2">
        <f>IF(OR(M21=0,M21=""),"",L21/M21-1)</f>
        <v/>
      </c>
      <c r="O21" s="2" t="inlineStr">
        <is>
          <t>WB рейтинг 4.9 (109 отзывов)</t>
        </is>
      </c>
    </row>
    <row r="22">
      <c r="A22" s="2" t="inlineStr"/>
      <c r="B22" s="2" t="inlineStr"/>
      <c r="C22" s="2" t="inlineStr"/>
      <c r="D22" s="2" t="inlineStr">
        <is>
          <t>2071489281</t>
        </is>
      </c>
      <c r="E22" s="2" t="inlineStr">
        <is>
          <t>DECOR MAGIC</t>
        </is>
      </c>
      <c r="F22" s="2" t="inlineStr">
        <is>
          <t>Коврик для ванной и туалета противоскользящий 40x60 см LANGORIA MILK</t>
        </is>
      </c>
      <c r="G22" s="2" t="n"/>
      <c r="H22" s="2" t="inlineStr">
        <is>
          <t>https://www.ozon.ru/product/kovrik-dlya-vannoy-i-tualeta-protivoskolzyashchiy-40x60-sm-langoria-milk-2071489281/</t>
        </is>
      </c>
      <c r="I22" s="2" t="n"/>
      <c r="J22" s="2" t="n">
        <v>662</v>
      </c>
      <c r="K22" s="2">
        <f>IF(OR(J22=0,J22=""),"",I22/J22-1)</f>
        <v/>
      </c>
      <c r="L22" s="2" t="n"/>
      <c r="M22" s="2" t="n">
        <v>662</v>
      </c>
      <c r="N22" s="2">
        <f>IF(OR(M22=0,M22=""),"",L22/M22-1)</f>
        <v/>
      </c>
      <c r="O22" s="2" t="inlineStr">
        <is>
          <t>OZ рейтинг 4.6 (8 отзывов)</t>
        </is>
      </c>
    </row>
    <row r="23">
      <c r="A23" s="2" t="inlineStr"/>
      <c r="B23" s="2" t="inlineStr"/>
      <c r="C23" s="2" t="inlineStr"/>
      <c r="D23" s="2" t="inlineStr">
        <is>
          <t>2090385530</t>
        </is>
      </c>
      <c r="E23" s="2" t="inlineStr">
        <is>
          <t>CASSIA</t>
        </is>
      </c>
      <c r="F23" s="2" t="inlineStr">
        <is>
          <t>CASSIA Одеяло евро макси, всесезонное "Бамбук Натурэль" теплое 240 г/м2, бамбуковое волокно, микроволокно "Лебяжий пух", 220x240</t>
        </is>
      </c>
      <c r="G23" s="2" t="n"/>
      <c r="H23" s="2" t="inlineStr">
        <is>
          <t>https://www.ozon.ru/product/cassia-odeyalo-evro-maksi-vsesezonnoe-bambuk-naturel-teploe-240-g-m2-bambukovoe-volokno-2090385530/</t>
        </is>
      </c>
      <c r="I23" s="2" t="n"/>
      <c r="J23" s="2" t="n">
        <v>2502</v>
      </c>
      <c r="K23" s="2">
        <f>IF(OR(J23=0,J23=""),"",I23/J23-1)</f>
        <v/>
      </c>
      <c r="L23" s="2" t="n"/>
      <c r="M23" s="2" t="n">
        <v>2502</v>
      </c>
      <c r="N23" s="2">
        <f>IF(OR(M23=0,M23=""),"",L23/M23-1)</f>
        <v/>
      </c>
      <c r="O23" s="2" t="inlineStr">
        <is>
          <t>OZ рейтинг 4.9 (220 отзывов)</t>
        </is>
      </c>
    </row>
    <row r="24">
      <c r="A24" s="2" t="inlineStr">
        <is>
          <t>648116</t>
        </is>
      </c>
      <c r="B24" s="2" t="inlineStr">
        <is>
          <t>DECOR MAGIC</t>
        </is>
      </c>
      <c r="C24" s="2" t="inlineStr">
        <is>
          <t>7161</t>
        </is>
      </c>
      <c r="D24" s="2" t="inlineStr">
        <is>
          <t>216264662</t>
        </is>
      </c>
      <c r="E24" s="2" t="inlineStr">
        <is>
          <t>DECOR MAGIC</t>
        </is>
      </c>
      <c r="F24" s="2" t="inlineStr">
        <is>
          <t>Ковер комнатный маленький из вискозы 80х150 ковровая дорожка</t>
        </is>
      </c>
      <c r="G24" s="2" t="inlineStr">
        <is>
          <t>https://www.wildberries.ru/catalog/216264662/detail.aspx?targetUrl=EX</t>
        </is>
      </c>
      <c r="H24" s="2" t="n"/>
      <c r="I24" s="2" t="n">
        <v>2601</v>
      </c>
      <c r="J24" s="2" t="n"/>
      <c r="K24" s="2">
        <f>IF(OR(J24=0,J24=""),"",I24/J24-1)</f>
        <v/>
      </c>
      <c r="L24" s="2" t="n">
        <v>2601</v>
      </c>
      <c r="M24" s="2" t="n"/>
      <c r="N24" s="2">
        <f>IF(OR(M24=0,M24=""),"",L24/M24-1)</f>
        <v/>
      </c>
      <c r="O24" s="2" t="inlineStr">
        <is>
          <t>WB рейтинг 4.7 (40 отзывов)</t>
        </is>
      </c>
    </row>
    <row r="25">
      <c r="A25" s="2" t="inlineStr">
        <is>
          <t>648116</t>
        </is>
      </c>
      <c r="B25" s="2" t="inlineStr">
        <is>
          <t>DECOR MAGIC</t>
        </is>
      </c>
      <c r="C25" s="2" t="inlineStr">
        <is>
          <t>7161</t>
        </is>
      </c>
      <c r="D25" s="2" t="inlineStr">
        <is>
          <t>216562103</t>
        </is>
      </c>
      <c r="E25" s="2" t="inlineStr">
        <is>
          <t>DECOR MAGIC</t>
        </is>
      </c>
      <c r="F25" s="2" t="inlineStr">
        <is>
          <t>Ковер шегги в комнату пушистый LANGORIA PLUM 135х200</t>
        </is>
      </c>
      <c r="G25" s="2" t="inlineStr">
        <is>
          <t>https://www.wildberries.ru/catalog/216562103/detail.aspx?targetUrl=EX</t>
        </is>
      </c>
      <c r="H25" s="2" t="n"/>
      <c r="I25" s="2" t="n">
        <v>3667</v>
      </c>
      <c r="J25" s="2" t="n"/>
      <c r="K25" s="2">
        <f>IF(OR(J25=0,J25=""),"",I25/J25-1)</f>
        <v/>
      </c>
      <c r="L25" s="2" t="n">
        <v>3667</v>
      </c>
      <c r="M25" s="2" t="n"/>
      <c r="N25" s="2">
        <f>IF(OR(M25=0,M25=""),"",L25/M25-1)</f>
        <v/>
      </c>
      <c r="O25" s="2" t="inlineStr">
        <is>
          <t>WB рейтинг 4.9 (72 отзывов)</t>
        </is>
      </c>
    </row>
    <row r="26">
      <c r="A26" s="2" t="inlineStr">
        <is>
          <t>648116</t>
        </is>
      </c>
      <c r="B26" s="2" t="inlineStr">
        <is>
          <t>DECOR MAGIC</t>
        </is>
      </c>
      <c r="C26" s="2" t="inlineStr">
        <is>
          <t>7161</t>
        </is>
      </c>
      <c r="D26" s="2" t="inlineStr">
        <is>
          <t>216562121</t>
        </is>
      </c>
      <c r="E26" s="2" t="inlineStr">
        <is>
          <t>DECOR MAGIC</t>
        </is>
      </c>
      <c r="F26" s="2" t="inlineStr">
        <is>
          <t>Ковер плюшевый нескользящий LANGORIA STONE 135х200</t>
        </is>
      </c>
      <c r="G26" s="2" t="inlineStr">
        <is>
          <t>https://www.wildberries.ru/catalog/216562121/detail.aspx?targetUrl=EX</t>
        </is>
      </c>
      <c r="H26" s="2" t="n"/>
      <c r="I26" s="2" t="n">
        <v>3667</v>
      </c>
      <c r="J26" s="2" t="n"/>
      <c r="K26" s="2">
        <f>IF(OR(J26=0,J26=""),"",I26/J26-1)</f>
        <v/>
      </c>
      <c r="L26" s="2" t="n">
        <v>3667</v>
      </c>
      <c r="M26" s="2" t="n"/>
      <c r="N26" s="2">
        <f>IF(OR(M26=0,M26=""),"",L26/M26-1)</f>
        <v/>
      </c>
      <c r="O26" s="2" t="inlineStr">
        <is>
          <t>WB рейтинг 4.9 (67 отзывов)</t>
        </is>
      </c>
    </row>
    <row r="27">
      <c r="A27" s="2" t="inlineStr">
        <is>
          <t>648116</t>
        </is>
      </c>
      <c r="B27" s="2" t="inlineStr">
        <is>
          <t>DECOR MAGIC</t>
        </is>
      </c>
      <c r="C27" s="2" t="inlineStr">
        <is>
          <t>1182</t>
        </is>
      </c>
      <c r="D27" s="2" t="inlineStr">
        <is>
          <t>216869483</t>
        </is>
      </c>
      <c r="E27" s="2" t="inlineStr">
        <is>
          <t>DECOR MAGIC</t>
        </is>
      </c>
      <c r="F27" s="2" t="inlineStr">
        <is>
          <t>Накидка на диван букле 65х170 см SLIM BRAVO SNOW</t>
        </is>
      </c>
      <c r="G27" s="2" t="inlineStr">
        <is>
          <t>https://www.wildberries.ru/catalog/216869483/detail.aspx?targetUrl=EX</t>
        </is>
      </c>
      <c r="H27" s="2" t="n"/>
      <c r="I27" s="2" t="n">
        <v>732</v>
      </c>
      <c r="J27" s="2" t="n"/>
      <c r="K27" s="2">
        <f>IF(OR(J27=0,J27=""),"",I27/J27-1)</f>
        <v/>
      </c>
      <c r="L27" s="2" t="n">
        <v>732</v>
      </c>
      <c r="M27" s="2" t="n"/>
      <c r="N27" s="2">
        <f>IF(OR(M27=0,M27=""),"",L27/M27-1)</f>
        <v/>
      </c>
      <c r="O27" s="2" t="inlineStr">
        <is>
          <t>WB рейтинг 4.8 (151 отзывов)</t>
        </is>
      </c>
    </row>
    <row r="28">
      <c r="A28" s="2" t="inlineStr">
        <is>
          <t>683563</t>
        </is>
      </c>
      <c r="B28" s="2" t="inlineStr">
        <is>
          <t>Dizani</t>
        </is>
      </c>
      <c r="C28" s="2" t="inlineStr">
        <is>
          <t>254</t>
        </is>
      </c>
      <c r="D28" s="2" t="inlineStr">
        <is>
          <t>218713779</t>
        </is>
      </c>
      <c r="E28" s="2" t="inlineStr">
        <is>
          <t>Dizani</t>
        </is>
      </c>
      <c r="F28" s="2" t="inlineStr">
        <is>
          <t>Подарочное полотенце сыну на день рождения</t>
        </is>
      </c>
      <c r="G28" s="2" t="inlineStr">
        <is>
          <t>https://www.wildberries.ru/catalog/218713779/detail.aspx?targetUrl=EX</t>
        </is>
      </c>
      <c r="H28" s="2" t="n"/>
      <c r="I28" s="2" t="n">
        <v>891</v>
      </c>
      <c r="J28" s="2" t="n"/>
      <c r="K28" s="2">
        <f>IF(OR(J28=0,J28=""),"",I28/J28-1)</f>
        <v/>
      </c>
      <c r="L28" s="2" t="n">
        <v>891</v>
      </c>
      <c r="M28" s="2" t="n"/>
      <c r="N28" s="2">
        <f>IF(OR(M28=0,M28=""),"",L28/M28-1)</f>
        <v/>
      </c>
      <c r="O28" s="2" t="inlineStr">
        <is>
          <t>WB рейтинг 4.9 (4241 отзывов)</t>
        </is>
      </c>
    </row>
    <row r="29">
      <c r="A29" s="2" t="inlineStr">
        <is>
          <t>683563</t>
        </is>
      </c>
      <c r="B29" s="2" t="inlineStr">
        <is>
          <t>Dizani</t>
        </is>
      </c>
      <c r="C29" s="2" t="inlineStr">
        <is>
          <t>254</t>
        </is>
      </c>
      <c r="D29" s="2" t="inlineStr">
        <is>
          <t>218713780</t>
        </is>
      </c>
      <c r="E29" s="2" t="inlineStr">
        <is>
          <t>Dizani</t>
        </is>
      </c>
      <c r="F29" s="2" t="inlineStr">
        <is>
          <t>Подарочное полотенце мужу на день рождения</t>
        </is>
      </c>
      <c r="G29" s="2" t="inlineStr">
        <is>
          <t>https://www.wildberries.ru/catalog/218713780/detail.aspx?targetUrl=EX</t>
        </is>
      </c>
      <c r="H29" s="2" t="n"/>
      <c r="I29" s="2" t="n">
        <v>904</v>
      </c>
      <c r="J29" s="2" t="n"/>
      <c r="K29" s="2">
        <f>IF(OR(J29=0,J29=""),"",I29/J29-1)</f>
        <v/>
      </c>
      <c r="L29" s="2" t="n">
        <v>904</v>
      </c>
      <c r="M29" s="2" t="n"/>
      <c r="N29" s="2">
        <f>IF(OR(M29=0,M29=""),"",L29/M29-1)</f>
        <v/>
      </c>
      <c r="O29" s="2" t="inlineStr">
        <is>
          <t>WB рейтинг 4.8 (3002 отзывов)</t>
        </is>
      </c>
    </row>
    <row r="30">
      <c r="A30" s="2" t="inlineStr">
        <is>
          <t>683563</t>
        </is>
      </c>
      <c r="B30" s="2" t="inlineStr">
        <is>
          <t>Dizani</t>
        </is>
      </c>
      <c r="C30" s="2" t="inlineStr">
        <is>
          <t>254</t>
        </is>
      </c>
      <c r="D30" s="2" t="inlineStr">
        <is>
          <t>219162242</t>
        </is>
      </c>
      <c r="E30" s="2" t="inlineStr">
        <is>
          <t>Dizani</t>
        </is>
      </c>
      <c r="F30" s="2" t="inlineStr">
        <is>
          <t>Подарочное полотенце папе на день рождения</t>
        </is>
      </c>
      <c r="G30" s="2" t="inlineStr">
        <is>
          <t>https://www.wildberries.ru/catalog/219162242/detail.aspx?targetUrl=EX</t>
        </is>
      </c>
      <c r="H30" s="2" t="n"/>
      <c r="I30" s="2" t="n">
        <v>1017</v>
      </c>
      <c r="J30" s="2" t="n"/>
      <c r="K30" s="2">
        <f>IF(OR(J30=0,J30=""),"",I30/J30-1)</f>
        <v/>
      </c>
      <c r="L30" s="2" t="n">
        <v>1017</v>
      </c>
      <c r="M30" s="2" t="n"/>
      <c r="N30" s="2">
        <f>IF(OR(M30=0,M30=""),"",L30/M30-1)</f>
        <v/>
      </c>
      <c r="O30" s="2" t="inlineStr">
        <is>
          <t>WB рейтинг 4.9 (907 отзывов)</t>
        </is>
      </c>
    </row>
    <row r="31">
      <c r="A31" s="2" t="inlineStr">
        <is>
          <t>683563</t>
        </is>
      </c>
      <c r="B31" s="2" t="inlineStr">
        <is>
          <t>Dizani</t>
        </is>
      </c>
      <c r="C31" s="2" t="inlineStr">
        <is>
          <t>254</t>
        </is>
      </c>
      <c r="D31" s="2" t="inlineStr">
        <is>
          <t>219363646</t>
        </is>
      </c>
      <c r="E31" s="2" t="inlineStr">
        <is>
          <t>Dizani</t>
        </is>
      </c>
      <c r="F31" s="2" t="inlineStr">
        <is>
          <t>Подарочное полотенце мужу на день рождения</t>
        </is>
      </c>
      <c r="G31" s="2" t="inlineStr">
        <is>
          <t>https://www.wildberries.ru/catalog/219363646/detail.aspx?targetUrl=EX</t>
        </is>
      </c>
      <c r="H31" s="2" t="n"/>
      <c r="I31" s="2" t="n">
        <v>1087</v>
      </c>
      <c r="J31" s="2" t="n"/>
      <c r="K31" s="2">
        <f>IF(OR(J31=0,J31=""),"",I31/J31-1)</f>
        <v/>
      </c>
      <c r="L31" s="2" t="n">
        <v>1087</v>
      </c>
      <c r="M31" s="2" t="n"/>
      <c r="N31" s="2">
        <f>IF(OR(M31=0,M31=""),"",L31/M31-1)</f>
        <v/>
      </c>
      <c r="O31" s="2" t="inlineStr">
        <is>
          <t>WB рейтинг 4.8 (1664 отзывов)</t>
        </is>
      </c>
    </row>
    <row r="32">
      <c r="A32" s="2" t="inlineStr"/>
      <c r="B32" s="2" t="inlineStr"/>
      <c r="C32" s="2" t="inlineStr"/>
      <c r="D32" s="2" t="inlineStr">
        <is>
          <t>2201728678</t>
        </is>
      </c>
      <c r="E32" s="2" t="inlineStr">
        <is>
          <t>CASSIA</t>
        </is>
      </c>
      <c r="F32" s="2" t="inlineStr">
        <is>
          <t>CASSIA Наволочки комплект "Эмине" сатин, хлопок, 70x70 - 2 шт</t>
        </is>
      </c>
      <c r="G32" s="2" t="n"/>
      <c r="H32" s="2" t="inlineStr">
        <is>
          <t>https://www.ozon.ru/product/cassia-navolochki-komplekt-emine-satin-hlopok-70x70-2-sht-2201728678/</t>
        </is>
      </c>
      <c r="I32" s="2" t="n"/>
      <c r="J32" s="2" t="n">
        <v>734</v>
      </c>
      <c r="K32" s="2">
        <f>IF(OR(J32=0,J32=""),"",I32/J32-1)</f>
        <v/>
      </c>
      <c r="L32" s="2" t="n"/>
      <c r="M32" s="2" t="n">
        <v>734</v>
      </c>
      <c r="N32" s="2">
        <f>IF(OR(M32=0,M32=""),"",L32/M32-1)</f>
        <v/>
      </c>
      <c r="O32" s="2" t="inlineStr">
        <is>
          <t>OZ рейтинг 5.0 (2 отзывов)</t>
        </is>
      </c>
    </row>
    <row r="33">
      <c r="A33" s="2" t="inlineStr"/>
      <c r="B33" s="2" t="inlineStr"/>
      <c r="C33" s="2" t="inlineStr"/>
      <c r="D33" s="2" t="inlineStr">
        <is>
          <t>2201728733</t>
        </is>
      </c>
      <c r="E33" s="2" t="inlineStr">
        <is>
          <t>CASSIA</t>
        </is>
      </c>
      <c r="F33" s="2" t="inlineStr">
        <is>
          <t>CASSIA Наволочки комплект "Альтан" сатин, хлопок, 70x70 - 2 шт</t>
        </is>
      </c>
      <c r="G33" s="2" t="n"/>
      <c r="H33" s="2" t="inlineStr">
        <is>
          <t>https://www.ozon.ru/product/cassia-navolochki-komplekt-altan-satin-hlopok-70x70-2-sht-2201728733/</t>
        </is>
      </c>
      <c r="I33" s="2" t="n"/>
      <c r="J33" s="2" t="n">
        <v>734</v>
      </c>
      <c r="K33" s="2">
        <f>IF(OR(J33=0,J33=""),"",I33/J33-1)</f>
        <v/>
      </c>
      <c r="L33" s="2" t="n"/>
      <c r="M33" s="2" t="n">
        <v>734</v>
      </c>
      <c r="N33" s="2">
        <f>IF(OR(M33=0,M33=""),"",L33/M33-1)</f>
        <v/>
      </c>
      <c r="O33" s="2" t="inlineStr">
        <is>
          <t>OZ рейтинг 5.0 (2 отзывов)</t>
        </is>
      </c>
    </row>
    <row r="34">
      <c r="A34" s="2" t="inlineStr">
        <is>
          <t>163386</t>
        </is>
      </c>
      <c r="B34" s="2" t="inlineStr">
        <is>
          <t>Togas Group</t>
        </is>
      </c>
      <c r="C34" s="2" t="inlineStr">
        <is>
          <t>197</t>
        </is>
      </c>
      <c r="D34" s="2" t="inlineStr">
        <is>
          <t>236184830</t>
        </is>
      </c>
      <c r="E34" s="2" t="inlineStr">
        <is>
          <t>CASSIA</t>
        </is>
      </c>
      <c r="F34" s="2" t="inlineStr">
        <is>
          <t>Постельное белье Евро 100% хлопок-сатин</t>
        </is>
      </c>
      <c r="G34" s="2" t="inlineStr">
        <is>
          <t>https://www.wildberries.ru/catalog/236184830/detail.aspx</t>
        </is>
      </c>
      <c r="H34" s="2" t="n"/>
      <c r="I34" s="2" t="n">
        <v>4663</v>
      </c>
      <c r="J34" s="2" t="n"/>
      <c r="K34" s="2">
        <f>IF(OR(J34=0,J34=""),"",I34/J34-1)</f>
        <v/>
      </c>
      <c r="L34" s="2" t="n">
        <v>4663</v>
      </c>
      <c r="M34" s="2" t="n"/>
      <c r="N34" s="2">
        <f>IF(OR(M34=0,M34=""),"",L34/M34-1)</f>
        <v/>
      </c>
      <c r="O34" s="2" t="inlineStr">
        <is>
          <t>WB рейтинг 4.5 (2 отзывов)</t>
        </is>
      </c>
    </row>
    <row r="35">
      <c r="A35" s="2" t="inlineStr">
        <is>
          <t>163386</t>
        </is>
      </c>
      <c r="B35" s="2" t="inlineStr">
        <is>
          <t>Togas Group</t>
        </is>
      </c>
      <c r="C35" s="2" t="inlineStr">
        <is>
          <t>197</t>
        </is>
      </c>
      <c r="D35" s="2" t="inlineStr">
        <is>
          <t>236184832</t>
        </is>
      </c>
      <c r="E35" s="2" t="inlineStr">
        <is>
          <t>CASSIA</t>
        </is>
      </c>
      <c r="F35" s="2" t="inlineStr">
        <is>
          <t>Постельное белье Евро 100% хлопок-сатин</t>
        </is>
      </c>
      <c r="G35" s="2" t="inlineStr">
        <is>
          <t>https://www.wildberries.ru/catalog/236184832/detail.aspx?targetUrl=EX</t>
        </is>
      </c>
      <c r="H35" s="2" t="n"/>
      <c r="I35" s="2" t="n">
        <v>3997</v>
      </c>
      <c r="J35" s="2" t="n"/>
      <c r="K35" s="2">
        <f>IF(OR(J35=0,J35=""),"",I35/J35-1)</f>
        <v/>
      </c>
      <c r="L35" s="2" t="n">
        <v>3997</v>
      </c>
      <c r="M35" s="2" t="n"/>
      <c r="N35" s="2">
        <f>IF(OR(M35=0,M35=""),"",L35/M35-1)</f>
        <v/>
      </c>
      <c r="O35" s="2" t="inlineStr">
        <is>
          <t>WB рейтинг 0.0 (0 отзывов)</t>
        </is>
      </c>
    </row>
    <row r="36">
      <c r="A36" s="2" t="inlineStr">
        <is>
          <t>163386</t>
        </is>
      </c>
      <c r="B36" s="2" t="inlineStr">
        <is>
          <t>Togas Group</t>
        </is>
      </c>
      <c r="C36" s="2" t="inlineStr">
        <is>
          <t>197</t>
        </is>
      </c>
      <c r="D36" s="2" t="inlineStr">
        <is>
          <t>236184833</t>
        </is>
      </c>
      <c r="E36" s="2" t="inlineStr">
        <is>
          <t>CASSIA</t>
        </is>
      </c>
      <c r="F36" s="2" t="inlineStr">
        <is>
          <t>Постельное белье Евро 100% хлопок-сатин</t>
        </is>
      </c>
      <c r="G36" s="2" t="inlineStr">
        <is>
          <t>https://www.wildberries.ru/catalog/236184833/detail.aspx?targetUrl=EX</t>
        </is>
      </c>
      <c r="H36" s="2" t="n"/>
      <c r="I36" s="2" t="n">
        <v>3997</v>
      </c>
      <c r="J36" s="2" t="n"/>
      <c r="K36" s="2">
        <f>IF(OR(J36=0,J36=""),"",I36/J36-1)</f>
        <v/>
      </c>
      <c r="L36" s="2" t="n">
        <v>3997</v>
      </c>
      <c r="M36" s="2" t="n"/>
      <c r="N36" s="2">
        <f>IF(OR(M36=0,M36=""),"",L36/M36-1)</f>
        <v/>
      </c>
      <c r="O36" s="2" t="inlineStr">
        <is>
          <t>WB рейтинг 0.0 (0 отзывов)</t>
        </is>
      </c>
    </row>
    <row r="37">
      <c r="A37" s="2" t="inlineStr">
        <is>
          <t>1137836</t>
        </is>
      </c>
      <c r="B37" s="2" t="inlineStr">
        <is>
          <t>Togas</t>
        </is>
      </c>
      <c r="C37" s="2" t="inlineStr">
        <is>
          <t>605</t>
        </is>
      </c>
      <c r="D37" s="2" t="inlineStr">
        <is>
          <t>237718568</t>
        </is>
      </c>
      <c r="E37" s="2" t="inlineStr">
        <is>
          <t>CASSIA</t>
        </is>
      </c>
      <c r="F37" s="2" t="inlineStr">
        <is>
          <t>Наволочки 70х70 2шт. комплект хлопок-сатин</t>
        </is>
      </c>
      <c r="G37" s="2" t="inlineStr">
        <is>
          <t>https://www.wildberries.ru/catalog/237718568/detail.aspx</t>
        </is>
      </c>
      <c r="H37" s="2" t="n"/>
      <c r="I37" s="2" t="n">
        <v>942</v>
      </c>
      <c r="J37" s="2" t="n"/>
      <c r="K37" s="2">
        <f>IF(OR(J37=0,J37=""),"",I37/J37-1)</f>
        <v/>
      </c>
      <c r="L37" s="2" t="n">
        <v>942</v>
      </c>
      <c r="M37" s="2" t="n"/>
      <c r="N37" s="2">
        <f>IF(OR(M37=0,M37=""),"",L37/M37-1)</f>
        <v/>
      </c>
      <c r="O37" s="2" t="inlineStr">
        <is>
          <t>WB рейтинг 5.0 (5 отзывов)</t>
        </is>
      </c>
    </row>
    <row r="38">
      <c r="A38" s="2" t="inlineStr">
        <is>
          <t>1137836</t>
        </is>
      </c>
      <c r="B38" s="2" t="inlineStr">
        <is>
          <t>Togas</t>
        </is>
      </c>
      <c r="C38" s="2" t="inlineStr">
        <is>
          <t>605</t>
        </is>
      </c>
      <c r="D38" s="2" t="inlineStr">
        <is>
          <t>237718570</t>
        </is>
      </c>
      <c r="E38" s="2" t="inlineStr">
        <is>
          <t>CASSIA</t>
        </is>
      </c>
      <c r="F38" s="2" t="inlineStr">
        <is>
          <t>Наволочки 70х70 2шт. комплект хлопок-сатин</t>
        </is>
      </c>
      <c r="G38" s="2" t="inlineStr">
        <is>
          <t>https://www.wildberries.ru/catalog/237718570/detail.aspx?targetUrl=EX</t>
        </is>
      </c>
      <c r="H38" s="2" t="n"/>
      <c r="I38" s="2" t="n">
        <v>921</v>
      </c>
      <c r="J38" s="2" t="n"/>
      <c r="K38" s="2">
        <f>IF(OR(J38=0,J38=""),"",I38/J38-1)</f>
        <v/>
      </c>
      <c r="L38" s="2" t="n">
        <v>921</v>
      </c>
      <c r="M38" s="2" t="n"/>
      <c r="N38" s="2">
        <f>IF(OR(M38=0,M38=""),"",L38/M38-1)</f>
        <v/>
      </c>
      <c r="O38" s="2" t="inlineStr">
        <is>
          <t>WB рейтинг 4.0 (3 отзывов)</t>
        </is>
      </c>
    </row>
    <row r="39">
      <c r="A39" s="2" t="inlineStr">
        <is>
          <t>1137836</t>
        </is>
      </c>
      <c r="B39" s="2" t="inlineStr">
        <is>
          <t>Togas</t>
        </is>
      </c>
      <c r="C39" s="2" t="inlineStr">
        <is>
          <t>605</t>
        </is>
      </c>
      <c r="D39" s="2" t="inlineStr">
        <is>
          <t>241055703</t>
        </is>
      </c>
      <c r="E39" s="2" t="inlineStr">
        <is>
          <t>CASSIA</t>
        </is>
      </c>
      <c r="F39" s="2" t="inlineStr">
        <is>
          <t>Комплект наволочек 70х70см 100% хлопок страйп-сатин</t>
        </is>
      </c>
      <c r="G39" s="2" t="inlineStr">
        <is>
          <t>https://www.wildberries.ru/catalog/241055703/detail.aspx</t>
        </is>
      </c>
      <c r="H39" s="2" t="n"/>
      <c r="I39" s="2" t="n">
        <v>983</v>
      </c>
      <c r="J39" s="2" t="n"/>
      <c r="K39" s="2">
        <f>IF(OR(J39=0,J39=""),"",I39/J39-1)</f>
        <v/>
      </c>
      <c r="L39" s="2" t="n">
        <v>983</v>
      </c>
      <c r="M39" s="2" t="n"/>
      <c r="N39" s="2">
        <f>IF(OR(M39=0,M39=""),"",L39/M39-1)</f>
        <v/>
      </c>
      <c r="O39" s="2" t="inlineStr">
        <is>
          <t>WB рейтинг 5.0 (5 отзывов)</t>
        </is>
      </c>
    </row>
    <row r="40">
      <c r="A40" s="2" t="inlineStr"/>
      <c r="B40" s="2" t="inlineStr"/>
      <c r="C40" s="2" t="inlineStr"/>
      <c r="D40" s="2" t="inlineStr">
        <is>
          <t>259469536</t>
        </is>
      </c>
      <c r="E40" s="2" t="inlineStr">
        <is>
          <t>CASSIA</t>
        </is>
      </c>
      <c r="F40" s="2" t="inlineStr">
        <is>
          <t>CASSIA Одеяло 200x220 евро "Антистресс" всесезонное 240 г/м2, микроволокно "Лебяжий пух"</t>
        </is>
      </c>
      <c r="G40" s="2" t="n"/>
      <c r="H40" s="2" t="inlineStr">
        <is>
          <t>https://www.ozon.ru/product/cassia-odeyalo-200x220-evro-antistress-vsesezonnoe-240-g-m2-mikrovolokno-lebyazhiy-puh-259469536/</t>
        </is>
      </c>
      <c r="I40" s="2" t="n"/>
      <c r="J40" s="2" t="n">
        <v>4841</v>
      </c>
      <c r="K40" s="2">
        <f>IF(OR(J40=0,J40=""),"",I40/J40-1)</f>
        <v/>
      </c>
      <c r="L40" s="2" t="n"/>
      <c r="M40" s="2" t="n">
        <v>4841</v>
      </c>
      <c r="N40" s="2">
        <f>IF(OR(M40=0,M40=""),"",L40/M40-1)</f>
        <v/>
      </c>
      <c r="O40" s="2" t="inlineStr">
        <is>
          <t>OZ рейтинг 4.9 (273 отзывов)</t>
        </is>
      </c>
    </row>
    <row r="41">
      <c r="A41" s="2" t="inlineStr">
        <is>
          <t>163386</t>
        </is>
      </c>
      <c r="B41" s="2" t="inlineStr">
        <is>
          <t>Togas Group</t>
        </is>
      </c>
      <c r="C41" s="2" t="inlineStr">
        <is>
          <t>319</t>
        </is>
      </c>
      <c r="D41" s="2" t="inlineStr">
        <is>
          <t>262435410</t>
        </is>
      </c>
      <c r="E41" s="2" t="inlineStr">
        <is>
          <t>CASSIA</t>
        </is>
      </c>
      <c r="F41" s="2" t="inlineStr">
        <is>
          <t>Одеяло 2-спальное 172x205 всесезонное,овечья шерсть 400г м2</t>
        </is>
      </c>
      <c r="G41" s="2" t="inlineStr">
        <is>
          <t>https://www.wildberries.ru/catalog/262435410/detail.aspx</t>
        </is>
      </c>
      <c r="H41" s="2" t="n"/>
      <c r="I41" s="2" t="n">
        <v>3310</v>
      </c>
      <c r="J41" s="2" t="n"/>
      <c r="K41" s="2">
        <f>IF(OR(J41=0,J41=""),"",I41/J41-1)</f>
        <v/>
      </c>
      <c r="L41" s="2" t="n">
        <v>3310</v>
      </c>
      <c r="M41" s="2" t="n"/>
      <c r="N41" s="2">
        <f>IF(OR(M41=0,M41=""),"",L41/M41-1)</f>
        <v/>
      </c>
      <c r="O41" s="2" t="inlineStr">
        <is>
          <t>WB рейтинг 4.3 (6 отзывов)</t>
        </is>
      </c>
    </row>
    <row r="42">
      <c r="A42" s="2" t="inlineStr">
        <is>
          <t>163386</t>
        </is>
      </c>
      <c r="B42" s="2" t="inlineStr">
        <is>
          <t>Togas Group</t>
        </is>
      </c>
      <c r="C42" s="2" t="inlineStr">
        <is>
          <t>319</t>
        </is>
      </c>
      <c r="D42" s="2" t="inlineStr">
        <is>
          <t>262435416</t>
        </is>
      </c>
      <c r="E42" s="2" t="inlineStr">
        <is>
          <t>CASSIA</t>
        </is>
      </c>
      <c r="F42" s="2" t="inlineStr">
        <is>
          <t>Одеяло Евро 200x220 всесезонное,верблюжья шерсть 200г м2</t>
        </is>
      </c>
      <c r="G42" s="2" t="inlineStr">
        <is>
          <t>https://www.wildberries.ru/catalog/262435416/detail.aspx?targetUrl=EX</t>
        </is>
      </c>
      <c r="H42" s="2" t="n"/>
      <c r="I42" s="2" t="n">
        <v>3508</v>
      </c>
      <c r="J42" s="2" t="n"/>
      <c r="K42" s="2">
        <f>IF(OR(J42=0,J42=""),"",I42/J42-1)</f>
        <v/>
      </c>
      <c r="L42" s="2" t="n">
        <v>3508</v>
      </c>
      <c r="M42" s="2" t="n"/>
      <c r="N42" s="2">
        <f>IF(OR(M42=0,M42=""),"",L42/M42-1)</f>
        <v/>
      </c>
      <c r="O42" s="2" t="inlineStr">
        <is>
          <t>WB рейтинг 4.9 (30 отзывов)</t>
        </is>
      </c>
    </row>
    <row r="43">
      <c r="A43" s="2" t="inlineStr"/>
      <c r="B43" s="2" t="inlineStr"/>
      <c r="C43" s="2" t="inlineStr"/>
      <c r="D43" s="2" t="inlineStr">
        <is>
          <t>2892924524</t>
        </is>
      </c>
      <c r="E43" s="2" t="inlineStr">
        <is>
          <t>DIZANI</t>
        </is>
      </c>
      <c r="F43" s="2" t="inlineStr">
        <is>
          <t>Полотенце махровое банное Евгений в подарок на день рождения</t>
        </is>
      </c>
      <c r="G43" s="2" t="n"/>
      <c r="H43" s="2" t="inlineStr">
        <is>
          <t>https://www.ozon.ru/product/polotentse-mahrovoe-bannoe-evgeniy-v-podarok-na-den-rozhdeniya-2892924524/</t>
        </is>
      </c>
      <c r="I43" s="2" t="n"/>
      <c r="J43" s="2" t="n">
        <v>872</v>
      </c>
      <c r="K43" s="2">
        <f>IF(OR(J43=0,J43=""),"",I43/J43-1)</f>
        <v/>
      </c>
      <c r="L43" s="2" t="n"/>
      <c r="M43" s="2" t="n">
        <v>872</v>
      </c>
      <c r="N43" s="2">
        <f>IF(OR(M43=0,M43=""),"",L43/M43-1)</f>
        <v/>
      </c>
      <c r="O43" s="2" t="inlineStr">
        <is>
          <t>OZ рейтинг 4.9 (3024 отзывов)</t>
        </is>
      </c>
    </row>
    <row r="44">
      <c r="A44" s="2" t="inlineStr">
        <is>
          <t>683563</t>
        </is>
      </c>
      <c r="B44" s="2" t="inlineStr">
        <is>
          <t>Dizani</t>
        </is>
      </c>
      <c r="C44" s="2" t="inlineStr">
        <is>
          <t>254</t>
        </is>
      </c>
      <c r="D44" s="2" t="inlineStr">
        <is>
          <t>314309663</t>
        </is>
      </c>
      <c r="E44" s="2" t="inlineStr">
        <is>
          <t>Dizani</t>
        </is>
      </c>
      <c r="F44" s="2" t="inlineStr">
        <is>
          <t>Именное полотенце Александр в подарок на день рождения</t>
        </is>
      </c>
      <c r="G44" s="2" t="inlineStr">
        <is>
          <t>https://www.wildberries.ru/catalog/314309663/detail.aspx</t>
        </is>
      </c>
      <c r="H44" s="2" t="n"/>
      <c r="I44" s="2" t="n">
        <v>878</v>
      </c>
      <c r="J44" s="2" t="n"/>
      <c r="K44" s="2">
        <f>IF(OR(J44=0,J44=""),"",I44/J44-1)</f>
        <v/>
      </c>
      <c r="L44" s="2" t="n">
        <v>878</v>
      </c>
      <c r="M44" s="2" t="n"/>
      <c r="N44" s="2">
        <f>IF(OR(M44=0,M44=""),"",L44/M44-1)</f>
        <v/>
      </c>
      <c r="O44" s="2" t="inlineStr">
        <is>
          <t>WB рейтинг 4.9 (1113 отзывов)</t>
        </is>
      </c>
    </row>
    <row r="45">
      <c r="A45" s="2" t="inlineStr">
        <is>
          <t>648116</t>
        </is>
      </c>
      <c r="B45" s="2" t="inlineStr">
        <is>
          <t>DECOR MAGIC</t>
        </is>
      </c>
      <c r="C45" s="2" t="inlineStr">
        <is>
          <t>1182</t>
        </is>
      </c>
      <c r="D45" s="2" t="inlineStr">
        <is>
          <t>327955201</t>
        </is>
      </c>
      <c r="E45" s="2" t="inlineStr">
        <is>
          <t>DECOR MAGIC</t>
        </is>
      </c>
      <c r="F45" s="2" t="inlineStr">
        <is>
          <t>Накидка на кресло и диван букле SLIM BRAVO WASABI</t>
        </is>
      </c>
      <c r="G45" s="2" t="inlineStr">
        <is>
          <t>https://www.wildberries.ru/catalog/327955201/detail.aspx?targetUrl=EX</t>
        </is>
      </c>
      <c r="H45" s="2" t="n"/>
      <c r="I45" s="2" t="n">
        <v>732</v>
      </c>
      <c r="J45" s="2" t="n"/>
      <c r="K45" s="2">
        <f>IF(OR(J45=0,J45=""),"",I45/J45-1)</f>
        <v/>
      </c>
      <c r="L45" s="2" t="n">
        <v>732</v>
      </c>
      <c r="M45" s="2" t="n"/>
      <c r="N45" s="2">
        <f>IF(OR(M45=0,M45=""),"",L45/M45-1)</f>
        <v/>
      </c>
      <c r="O45" s="2" t="inlineStr">
        <is>
          <t>WB рейтинг 4.9 (42 отзывов)</t>
        </is>
      </c>
    </row>
    <row r="46">
      <c r="A46" s="2" t="inlineStr">
        <is>
          <t>1137836</t>
        </is>
      </c>
      <c r="B46" s="2" t="inlineStr">
        <is>
          <t>Togas</t>
        </is>
      </c>
      <c r="C46" s="2" t="inlineStr">
        <is>
          <t>319</t>
        </is>
      </c>
      <c r="D46" s="2" t="inlineStr">
        <is>
          <t>346527406</t>
        </is>
      </c>
      <c r="E46" s="2" t="inlineStr">
        <is>
          <t>CASSIA</t>
        </is>
      </c>
      <c r="F46" s="2" t="inlineStr">
        <is>
          <t>Одеяло евро 220х240 бамбук всесезонное облегченное 200г м2</t>
        </is>
      </c>
      <c r="G46" s="2" t="inlineStr">
        <is>
          <t>https://www.wildberries.ru/catalog/346527406/detail.aspx?targetUrl=EX</t>
        </is>
      </c>
      <c r="H46" s="2" t="n"/>
      <c r="I46" s="2" t="n">
        <v>2150</v>
      </c>
      <c r="J46" s="2" t="n"/>
      <c r="K46" s="2">
        <f>IF(OR(J46=0,J46=""),"",I46/J46-1)</f>
        <v/>
      </c>
      <c r="L46" s="2" t="n">
        <v>2150</v>
      </c>
      <c r="M46" s="2" t="n"/>
      <c r="N46" s="2">
        <f>IF(OR(M46=0,M46=""),"",L46/M46-1)</f>
        <v/>
      </c>
      <c r="O46" s="2" t="inlineStr">
        <is>
          <t>WB рейтинг 5.0 (16 отзывов)</t>
        </is>
      </c>
    </row>
    <row r="47">
      <c r="A47" s="2" t="inlineStr">
        <is>
          <t>648116</t>
        </is>
      </c>
      <c r="B47" s="2" t="inlineStr">
        <is>
          <t>DECOR MAGIC</t>
        </is>
      </c>
      <c r="C47" s="2" t="inlineStr">
        <is>
          <t>1182</t>
        </is>
      </c>
      <c r="D47" s="2" t="inlineStr">
        <is>
          <t>371202089</t>
        </is>
      </c>
      <c r="E47" s="2" t="inlineStr">
        <is>
          <t>DECOR MAGIC</t>
        </is>
      </c>
      <c r="F47" s="2" t="inlineStr">
        <is>
          <t>Покрывало на односпальную кровать UNO CITUS GRAFIT</t>
        </is>
      </c>
      <c r="G47" s="2" t="inlineStr">
        <is>
          <t>https://www.wildberries.ru/catalog/371202089/detail.aspx?targetUrl=EX</t>
        </is>
      </c>
      <c r="H47" s="2" t="n"/>
      <c r="I47" s="2" t="n">
        <v>1405</v>
      </c>
      <c r="J47" s="2" t="n"/>
      <c r="K47" s="2">
        <f>IF(OR(J47=0,J47=""),"",I47/J47-1)</f>
        <v/>
      </c>
      <c r="L47" s="2" t="n">
        <v>1405</v>
      </c>
      <c r="M47" s="2" t="n"/>
      <c r="N47" s="2">
        <f>IF(OR(M47=0,M47=""),"",L47/M47-1)</f>
        <v/>
      </c>
      <c r="O47" s="2" t="inlineStr">
        <is>
          <t>WB рейтинг 4.9 (49 отзывов)</t>
        </is>
      </c>
    </row>
    <row r="48">
      <c r="A48" s="2" t="inlineStr">
        <is>
          <t>648116</t>
        </is>
      </c>
      <c r="B48" s="2" t="inlineStr">
        <is>
          <t>DECOR MAGIC</t>
        </is>
      </c>
      <c r="C48" s="2" t="inlineStr">
        <is>
          <t>1625</t>
        </is>
      </c>
      <c r="D48" s="2" t="inlineStr">
        <is>
          <t>400549779</t>
        </is>
      </c>
      <c r="E48" s="2" t="inlineStr">
        <is>
          <t>DECOR MAGIC</t>
        </is>
      </c>
      <c r="F48" s="2" t="inlineStr">
        <is>
          <t>Коврик для ванной быстросохнущий пушистый MILK 50x80 см</t>
        </is>
      </c>
      <c r="G48" s="2" t="inlineStr">
        <is>
          <t>https://www.wildberries.ru/catalog/400549779/detail.aspx?targetUrl=EX</t>
        </is>
      </c>
      <c r="H48" s="2" t="n"/>
      <c r="I48" s="2" t="n">
        <v>540</v>
      </c>
      <c r="J48" s="2" t="n"/>
      <c r="K48" s="2">
        <f>IF(OR(J48=0,J48=""),"",I48/J48-1)</f>
        <v/>
      </c>
      <c r="L48" s="2" t="n">
        <v>540</v>
      </c>
      <c r="M48" s="2" t="n"/>
      <c r="N48" s="2">
        <f>IF(OR(M48=0,M48=""),"",L48/M48-1)</f>
        <v/>
      </c>
      <c r="O48" s="2" t="inlineStr">
        <is>
          <t>WB рейтинг 4.7 (30 отзывов)</t>
        </is>
      </c>
    </row>
    <row r="49">
      <c r="A49" s="2" t="inlineStr">
        <is>
          <t>683563</t>
        </is>
      </c>
      <c r="B49" s="2" t="inlineStr">
        <is>
          <t>Dizani</t>
        </is>
      </c>
      <c r="C49" s="2" t="inlineStr">
        <is>
          <t>254</t>
        </is>
      </c>
      <c r="D49" s="2" t="inlineStr">
        <is>
          <t>432022326</t>
        </is>
      </c>
      <c r="E49" s="2" t="inlineStr">
        <is>
          <t>Dizani</t>
        </is>
      </c>
      <c r="F49" s="2" t="inlineStr">
        <is>
          <t>Именное полотенце Евгений в подарок на день рождения</t>
        </is>
      </c>
      <c r="G49" s="2" t="inlineStr">
        <is>
          <t>https://www.wildberries.ru/catalog/432022326/detail.aspx?targetUrl=EX</t>
        </is>
      </c>
      <c r="H49" s="2" t="n"/>
      <c r="I49" s="2" t="n">
        <v>891</v>
      </c>
      <c r="J49" s="2" t="n"/>
      <c r="K49" s="2">
        <f>IF(OR(J49=0,J49=""),"",I49/J49-1)</f>
        <v/>
      </c>
      <c r="L49" s="2" t="n">
        <v>891</v>
      </c>
      <c r="M49" s="2" t="n"/>
      <c r="N49" s="2">
        <f>IF(OR(M49=0,M49=""),"",L49/M49-1)</f>
        <v/>
      </c>
      <c r="O49" s="2" t="inlineStr">
        <is>
          <t>WB рейтинг 4.9 (172 отзывов)</t>
        </is>
      </c>
    </row>
    <row r="50">
      <c r="A50" s="2" t="inlineStr">
        <is>
          <t>683563</t>
        </is>
      </c>
      <c r="B50" s="2" t="inlineStr">
        <is>
          <t>Dizani</t>
        </is>
      </c>
      <c r="C50" s="2" t="inlineStr">
        <is>
          <t>254</t>
        </is>
      </c>
      <c r="D50" s="2" t="inlineStr">
        <is>
          <t>432022328</t>
        </is>
      </c>
      <c r="E50" s="2" t="inlineStr">
        <is>
          <t>Dizani</t>
        </is>
      </c>
      <c r="F50" s="2" t="inlineStr">
        <is>
          <t>Именное полотенце Николай в подарок на день рождения</t>
        </is>
      </c>
      <c r="G50" s="2" t="inlineStr">
        <is>
          <t>https://www.wildberries.ru/catalog/432022328/detail.aspx?targetUrl=EX</t>
        </is>
      </c>
      <c r="H50" s="2" t="n"/>
      <c r="I50" s="2" t="n">
        <v>891</v>
      </c>
      <c r="J50" s="2" t="n"/>
      <c r="K50" s="2">
        <f>IF(OR(J50=0,J50=""),"",I50/J50-1)</f>
        <v/>
      </c>
      <c r="L50" s="2" t="n">
        <v>891</v>
      </c>
      <c r="M50" s="2" t="n"/>
      <c r="N50" s="2">
        <f>IF(OR(M50=0,M50=""),"",L50/M50-1)</f>
        <v/>
      </c>
      <c r="O50" s="2" t="inlineStr">
        <is>
          <t>WB рейтинг 4.9 (160 отзывов)</t>
        </is>
      </c>
    </row>
    <row r="51">
      <c r="A51" s="2" t="inlineStr">
        <is>
          <t>250010287</t>
        </is>
      </c>
      <c r="B51" s="2" t="inlineStr">
        <is>
          <t>Togas group</t>
        </is>
      </c>
      <c r="C51" s="2" t="inlineStr">
        <is>
          <t>1182</t>
        </is>
      </c>
      <c r="D51" s="2" t="inlineStr">
        <is>
          <t>438907475</t>
        </is>
      </c>
      <c r="E51" s="2" t="inlineStr">
        <is>
          <t>CASSIA</t>
        </is>
      </c>
      <c r="F51" s="2" t="inlineStr">
        <is>
          <t>Покрывало на кровать, на диван 230x250 и две наволочки 50х70</t>
        </is>
      </c>
      <c r="G51" s="2" t="inlineStr">
        <is>
          <t>https://www.wildberries.ru/catalog/438907475/detail.aspx</t>
        </is>
      </c>
      <c r="H51" s="2" t="n"/>
      <c r="I51" s="2" t="n">
        <v>2502</v>
      </c>
      <c r="J51" s="2" t="n"/>
      <c r="K51" s="2">
        <f>IF(OR(J51=0,J51=""),"",I51/J51-1)</f>
        <v/>
      </c>
      <c r="L51" s="2" t="n">
        <v>2502</v>
      </c>
      <c r="M51" s="2" t="n"/>
      <c r="N51" s="2">
        <f>IF(OR(M51=0,M51=""),"",L51/M51-1)</f>
        <v/>
      </c>
      <c r="O51" s="2" t="inlineStr">
        <is>
          <t>WB рейтинг 0.0 (0 отзывов)</t>
        </is>
      </c>
    </row>
    <row r="52">
      <c r="A52" s="2" t="inlineStr">
        <is>
          <t>250010287</t>
        </is>
      </c>
      <c r="B52" s="2" t="inlineStr">
        <is>
          <t>Togas group</t>
        </is>
      </c>
      <c r="C52" s="2" t="inlineStr">
        <is>
          <t>1182</t>
        </is>
      </c>
      <c r="D52" s="2" t="inlineStr">
        <is>
          <t>438907476</t>
        </is>
      </c>
      <c r="E52" s="2" t="inlineStr">
        <is>
          <t>CASSIA</t>
        </is>
      </c>
      <c r="F52" s="2" t="inlineStr">
        <is>
          <t>Покрывало на кровать, на диван 230x250 и две наволочки 50х70</t>
        </is>
      </c>
      <c r="G52" s="2" t="inlineStr">
        <is>
          <t>https://www.wildberries.ru/catalog/438907476/detail.aspx?targetUrl=EX</t>
        </is>
      </c>
      <c r="H52" s="2" t="n"/>
      <c r="I52" s="2" t="n">
        <v>2874</v>
      </c>
      <c r="J52" s="2" t="n"/>
      <c r="K52" s="2">
        <f>IF(OR(J52=0,J52=""),"",I52/J52-1)</f>
        <v/>
      </c>
      <c r="L52" s="2" t="n">
        <v>2874</v>
      </c>
      <c r="M52" s="2" t="n"/>
      <c r="N52" s="2">
        <f>IF(OR(M52=0,M52=""),"",L52/M52-1)</f>
        <v/>
      </c>
      <c r="O52" s="2" t="inlineStr">
        <is>
          <t>WB рейтинг 0.0 (0 отзывов)</t>
        </is>
      </c>
    </row>
    <row r="53">
      <c r="A53" s="2" t="inlineStr">
        <is>
          <t>250010287</t>
        </is>
      </c>
      <c r="B53" s="2" t="inlineStr">
        <is>
          <t>Togas group</t>
        </is>
      </c>
      <c r="C53" s="2" t="inlineStr">
        <is>
          <t>1182</t>
        </is>
      </c>
      <c r="D53" s="2" t="inlineStr">
        <is>
          <t>438907479</t>
        </is>
      </c>
      <c r="E53" s="2" t="inlineStr">
        <is>
          <t>CASSIA</t>
        </is>
      </c>
      <c r="F53" s="2" t="inlineStr">
        <is>
          <t>Покрывало на кровать на диван стеганое Евро 240x260 бархат</t>
        </is>
      </c>
      <c r="G53" s="2" t="inlineStr">
        <is>
          <t>https://www.wildberries.ru/catalog/438907479/detail.aspx?targetUrl=EX</t>
        </is>
      </c>
      <c r="H53" s="2" t="n"/>
      <c r="I53" s="2" t="n">
        <v>3329</v>
      </c>
      <c r="J53" s="2" t="n"/>
      <c r="K53" s="2">
        <f>IF(OR(J53=0,J53=""),"",I53/J53-1)</f>
        <v/>
      </c>
      <c r="L53" s="2" t="n">
        <v>3329</v>
      </c>
      <c r="M53" s="2" t="n"/>
      <c r="N53" s="2">
        <f>IF(OR(M53=0,M53=""),"",L53/M53-1)</f>
        <v/>
      </c>
      <c r="O53" s="2" t="inlineStr">
        <is>
          <t>WB рейтинг 5.0 (1 отзывов)</t>
        </is>
      </c>
    </row>
    <row r="54">
      <c r="A54" s="2" t="inlineStr">
        <is>
          <t>1137836</t>
        </is>
      </c>
      <c r="B54" s="2" t="inlineStr">
        <is>
          <t>Togas</t>
        </is>
      </c>
      <c r="C54" s="2" t="inlineStr">
        <is>
          <t>319</t>
        </is>
      </c>
      <c r="D54" s="2" t="inlineStr">
        <is>
          <t>444692910</t>
        </is>
      </c>
      <c r="E54" s="2" t="inlineStr">
        <is>
          <t>CASSIA</t>
        </is>
      </c>
      <c r="F54" s="2" t="inlineStr">
        <is>
          <t>Одеяло 1.5 спальное 140х205 вискозный шелк 240 г м2</t>
        </is>
      </c>
      <c r="G54" s="2" t="inlineStr">
        <is>
          <t>https://www.wildberries.ru/catalog/444692910/detail.aspx</t>
        </is>
      </c>
      <c r="H54" s="2" t="n"/>
      <c r="I54" s="2" t="n">
        <v>1672</v>
      </c>
      <c r="J54" s="2" t="n"/>
      <c r="K54" s="2">
        <f>IF(OR(J54=0,J54=""),"",I54/J54-1)</f>
        <v/>
      </c>
      <c r="L54" s="2" t="n">
        <v>1672</v>
      </c>
      <c r="M54" s="2" t="n"/>
      <c r="N54" s="2">
        <f>IF(OR(M54=0,M54=""),"",L54/M54-1)</f>
        <v/>
      </c>
      <c r="O54" s="2" t="inlineStr">
        <is>
          <t>WB рейтинг 5.0 (2 отзывов)</t>
        </is>
      </c>
    </row>
    <row r="55">
      <c r="A55" s="2" t="inlineStr">
        <is>
          <t>250010287</t>
        </is>
      </c>
      <c r="B55" s="2" t="inlineStr">
        <is>
          <t>Togas group</t>
        </is>
      </c>
      <c r="C55" s="2" t="inlineStr">
        <is>
          <t>1182</t>
        </is>
      </c>
      <c r="D55" s="2" t="inlineStr">
        <is>
          <t>488870453</t>
        </is>
      </c>
      <c r="E55" s="2" t="inlineStr">
        <is>
          <t>CASSIA</t>
        </is>
      </c>
      <c r="F55" s="2" t="inlineStr">
        <is>
          <t>Покрывало на кровать, на диван 230x250 и две наволочки 50х70</t>
        </is>
      </c>
      <c r="G55" s="2" t="inlineStr">
        <is>
          <t>https://www.wildberries.ru/catalog/488870453/detail.aspx?targetUrl=EX</t>
        </is>
      </c>
      <c r="H55" s="2" t="n"/>
      <c r="I55" s="2" t="n">
        <v>3052</v>
      </c>
      <c r="J55" s="2" t="n"/>
      <c r="K55" s="2">
        <f>IF(OR(J55=0,J55=""),"",I55/J55-1)</f>
        <v/>
      </c>
      <c r="L55" s="2" t="n">
        <v>3052</v>
      </c>
      <c r="M55" s="2" t="n"/>
      <c r="N55" s="2">
        <f>IF(OR(M55=0,M55=""),"",L55/M55-1)</f>
        <v/>
      </c>
      <c r="O55" s="2" t="inlineStr">
        <is>
          <t>WB рейтинг 5.0 (2 отзывов)</t>
        </is>
      </c>
    </row>
    <row r="56">
      <c r="A56" s="2" t="inlineStr"/>
      <c r="B56" s="2" t="inlineStr"/>
      <c r="C56" s="2" t="inlineStr"/>
      <c r="D56" s="2" t="inlineStr">
        <is>
          <t>652462512</t>
        </is>
      </c>
      <c r="E56" s="2" t="inlineStr">
        <is>
          <t>DECOR MAGIC</t>
        </is>
      </c>
      <c r="F56" s="2" t="inlineStr">
        <is>
          <t>Дивандек покрывало накидка на диван 65х170 SLIM OPERA WINE</t>
        </is>
      </c>
      <c r="G56" s="2" t="n"/>
      <c r="H56" s="2" t="inlineStr">
        <is>
          <t>https://www.ozon.ru/product/divandek-pokryvalo-nakidka-na-divan-65h170-slim-opera-wine-652462512/</t>
        </is>
      </c>
      <c r="I56" s="2" t="n"/>
      <c r="J56" s="2" t="n">
        <v>1054</v>
      </c>
      <c r="K56" s="2">
        <f>IF(OR(J56=0,J56=""),"",I56/J56-1)</f>
        <v/>
      </c>
      <c r="L56" s="2" t="n"/>
      <c r="M56" s="2" t="n">
        <v>1054</v>
      </c>
      <c r="N56" s="2">
        <f>IF(OR(M56=0,M56=""),"",L56/M56-1)</f>
        <v/>
      </c>
      <c r="O56" s="2" t="inlineStr">
        <is>
          <t>OZ рейтинг 4.9 (2327 отзывов)</t>
        </is>
      </c>
    </row>
    <row r="57">
      <c r="A57" s="2" t="inlineStr"/>
      <c r="B57" s="2" t="inlineStr"/>
      <c r="C57" s="2" t="inlineStr"/>
      <c r="D57" s="2" t="inlineStr">
        <is>
          <t>667869986</t>
        </is>
      </c>
      <c r="E57" s="2" t="inlineStr">
        <is>
          <t>DECOR MAGIC</t>
        </is>
      </c>
      <c r="F57" s="2" t="inlineStr">
        <is>
          <t>Покрывало UNO CITUS GRAFIT 135*210</t>
        </is>
      </c>
      <c r="G57" s="2" t="n"/>
      <c r="H57" s="2" t="inlineStr">
        <is>
          <t>https://www.ozon.ru/product/pokryvalo-uno-citus-grafit-135-210-667869986/</t>
        </is>
      </c>
      <c r="I57" s="2" t="n"/>
      <c r="J57" s="2" t="n">
        <v>2029</v>
      </c>
      <c r="K57" s="2">
        <f>IF(OR(J57=0,J57=""),"",I57/J57-1)</f>
        <v/>
      </c>
      <c r="L57" s="2" t="n"/>
      <c r="M57" s="2" t="n">
        <v>2029</v>
      </c>
      <c r="N57" s="2">
        <f>IF(OR(M57=0,M57=""),"",L57/M57-1)</f>
        <v/>
      </c>
      <c r="O57" s="2" t="inlineStr">
        <is>
          <t>OZ рейтинг 4.9 (967 отзывов)</t>
        </is>
      </c>
    </row>
    <row r="58">
      <c r="A58" s="2" t="inlineStr"/>
      <c r="B58" s="2" t="inlineStr"/>
      <c r="C58" s="2" t="inlineStr"/>
      <c r="D58" s="2" t="inlineStr">
        <is>
          <t>671493707</t>
        </is>
      </c>
      <c r="E58" s="2" t="inlineStr">
        <is>
          <t>DECOR MAGIC</t>
        </is>
      </c>
      <c r="F58" s="2" t="inlineStr">
        <is>
          <t>Дивандек на диван и кресло 65х170 накидка SLIM CILIUM UMBER</t>
        </is>
      </c>
      <c r="G58" s="2" t="n"/>
      <c r="H58" s="2" t="inlineStr">
        <is>
          <t>https://www.ozon.ru/product/divandek-na-divan-i-kreslo-65h170-nakidka-slim-cilium-umber-671493707/</t>
        </is>
      </c>
      <c r="I58" s="2" t="n"/>
      <c r="J58" s="2" t="n">
        <v>928</v>
      </c>
      <c r="K58" s="2">
        <f>IF(OR(J58=0,J58=""),"",I58/J58-1)</f>
        <v/>
      </c>
      <c r="L58" s="2" t="n"/>
      <c r="M58" s="2" t="n">
        <v>928</v>
      </c>
      <c r="N58" s="2">
        <f>IF(OR(M58=0,M58=""),"",L58/M58-1)</f>
        <v/>
      </c>
      <c r="O58" s="2" t="inlineStr">
        <is>
          <t>OZ рейтинг 4.9 (3630 отзывов)</t>
        </is>
      </c>
    </row>
    <row r="59">
      <c r="A59" s="2" t="inlineStr"/>
      <c r="B59" s="2" t="inlineStr"/>
      <c r="C59" s="2" t="inlineStr"/>
      <c r="D59" s="2" t="inlineStr">
        <is>
          <t>910821477</t>
        </is>
      </c>
      <c r="E59" s="2" t="inlineStr">
        <is>
          <t>CASSIA</t>
        </is>
      </c>
      <c r="F59" s="2" t="inlineStr">
        <is>
          <t>CASSIA Комплект покрывало с наволочками Евро-макси "Ирисы" стеганые, микрофибра, 230x250 + 50x70 - 2 шт, 3 предмета</t>
        </is>
      </c>
      <c r="G59" s="2" t="n"/>
      <c r="H59" s="2" t="inlineStr">
        <is>
          <t>https://www.ozon.ru/product/cassia-komplekt-pokryvalo-s-navolochkami-evro-maksi-irisy-steganye-mikrofibra-230x250-50x70-2-sht-910821477/</t>
        </is>
      </c>
      <c r="I59" s="2" t="n"/>
      <c r="J59" s="2" t="n">
        <v>2122</v>
      </c>
      <c r="K59" s="2">
        <f>IF(OR(J59=0,J59=""),"",I59/J59-1)</f>
        <v/>
      </c>
      <c r="L59" s="2" t="n"/>
      <c r="M59" s="2" t="n">
        <v>2122</v>
      </c>
      <c r="N59" s="2">
        <f>IF(OR(M59=0,M59=""),"",L59/M59-1)</f>
        <v/>
      </c>
      <c r="O59" s="2" t="inlineStr">
        <is>
          <t>OZ рейтинг 4.9 (125 отзывов)</t>
        </is>
      </c>
    </row>
    <row r="60">
      <c r="A60" s="2" t="inlineStr"/>
      <c r="B60" s="2" t="inlineStr"/>
      <c r="C60" s="2" t="inlineStr"/>
      <c r="D60" s="2" t="inlineStr">
        <is>
          <t>989368500</t>
        </is>
      </c>
      <c r="E60" s="2" t="inlineStr">
        <is>
          <t>DIZANI</t>
        </is>
      </c>
      <c r="F60" s="2" t="inlineStr">
        <is>
          <t>Полотенце махровое именное Алексей, подарочное мужское</t>
        </is>
      </c>
      <c r="G60" s="2" t="n"/>
      <c r="H60" s="2" t="inlineStr">
        <is>
          <t>https://www.ozon.ru/product/polotentse-mahrovoe-imennoe-aleksey-podarochnoe-muzhskoe-989368500/</t>
        </is>
      </c>
      <c r="I60" s="2" t="n"/>
      <c r="J60" s="2" t="n">
        <v>1077</v>
      </c>
      <c r="K60" s="2">
        <f>IF(OR(J60=0,J60=""),"",I60/J60-1)</f>
        <v/>
      </c>
      <c r="L60" s="2" t="n"/>
      <c r="M60" s="2" t="n">
        <v>1077</v>
      </c>
      <c r="N60" s="2">
        <f>IF(OR(M60=0,M60=""),"",L60/M60-1)</f>
        <v/>
      </c>
      <c r="O60" s="2" t="inlineStr">
        <is>
          <t>OZ рейтинг 4.9 (5919 отзывов)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2025-11-12T07:49:37Z</dcterms:created>
  <dcterms:modified xmlns:dcterms="http://purl.org/dc/terms/" xmlns:xsi="http://www.w3.org/2001/XMLSchema-instance" xsi:type="dcterms:W3CDTF">2025-11-12T07:49:37Z</dcterms:modified>
</cp:coreProperties>
</file>